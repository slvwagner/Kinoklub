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oklub\Input\"/>
    </mc:Choice>
  </mc:AlternateContent>
  <xr:revisionPtr revIDLastSave="0" documentId="13_ncr:1_{6308EFF3-A270-4FF3-AA2B-4BDC85F316CD}" xr6:coauthVersionLast="47" xr6:coauthVersionMax="47" xr10:uidLastSave="{00000000-0000-0000-0000-000000000000}"/>
  <bookViews>
    <workbookView xWindow="-90" yWindow="0" windowWidth="14580" windowHeight="17370" xr2:uid="{D194CBB7-18DA-440A-A6D7-06C22280DEE3}"/>
  </bookViews>
  <sheets>
    <sheet name="Einnahmen" sheetId="3" r:id="rId1"/>
    <sheet name="Ausgaben" sheetId="5" r:id="rId2"/>
    <sheet name="dropdown" sheetId="6" r:id="rId3"/>
    <sheet name="Konte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2" i="5"/>
  <c r="F3" i="5"/>
</calcChain>
</file>

<file path=xl/sharedStrings.xml><?xml version="1.0" encoding="utf-8"?>
<sst xmlns="http://schemas.openxmlformats.org/spreadsheetml/2006/main" count="179" uniqueCount="118">
  <si>
    <t>Bezeichnung</t>
  </si>
  <si>
    <t>Datum</t>
  </si>
  <si>
    <t>Betrag</t>
  </si>
  <si>
    <t>Firmennamen</t>
  </si>
  <si>
    <t>Adresse</t>
  </si>
  <si>
    <t>Referenz</t>
  </si>
  <si>
    <t>Rechnungsnummer</t>
  </si>
  <si>
    <t>Nadia Wagner</t>
  </si>
  <si>
    <t>Wilifeld 4, 5708 Birrwil</t>
  </si>
  <si>
    <t>Theater am Bahnhof AG</t>
  </si>
  <si>
    <t>Kategorie</t>
  </si>
  <si>
    <t>Vermietung</t>
  </si>
  <si>
    <t>Werbung</t>
  </si>
  <si>
    <t>Kiosk</t>
  </si>
  <si>
    <t>Spieldatum</t>
  </si>
  <si>
    <t>Personalaufwand</t>
  </si>
  <si>
    <t>Verleiher</t>
  </si>
  <si>
    <t>Sonstiges</t>
  </si>
  <si>
    <t>Tunaustrasse 5, 5734 Reinach</t>
  </si>
  <si>
    <t>Event</t>
  </si>
  <si>
    <t>Buchungskonto</t>
  </si>
  <si>
    <t>Kinomiete Januar</t>
  </si>
  <si>
    <t>Gehaltszahlung Betriebsleitung Januar 25</t>
  </si>
  <si>
    <t>Gehaltszahlung Betriebsleitung Februar 25</t>
  </si>
  <si>
    <t>dropdown</t>
  </si>
  <si>
    <t>Plakat F4 Kinoprogramm</t>
  </si>
  <si>
    <t>Drucksachenexpress AG</t>
  </si>
  <si>
    <t>Haldenstrasse 160, 5728 Gontenschwil</t>
  </si>
  <si>
    <t>80 25020 00000 00000 00008 47299</t>
  </si>
  <si>
    <t>0084729</t>
  </si>
  <si>
    <t>Buchhaltungskonto</t>
  </si>
  <si>
    <t>4405 Einkauf Kioskwaren Kino</t>
  </si>
  <si>
    <t>4404 Filmmiete Kino</t>
  </si>
  <si>
    <t>4406 Werbung Kino</t>
  </si>
  <si>
    <t>4407 Unterhalt</t>
  </si>
  <si>
    <t>Suisanummer</t>
  </si>
  <si>
    <t>1020.643</t>
  </si>
  <si>
    <t>Film: Flow</t>
  </si>
  <si>
    <t>Xenix Filmdistribution GmbH</t>
  </si>
  <si>
    <t>Weberstrasse 21, CH 8004 Zürich</t>
  </si>
  <si>
    <t>1020.514</t>
  </si>
  <si>
    <t>Film: Everybody Hates Johan</t>
  </si>
  <si>
    <t>Pathe Films AG</t>
  </si>
  <si>
    <t>Neugasse 6, Postfach, 8031 Zürich</t>
  </si>
  <si>
    <t>93 88771 00200 00000 06007 19602</t>
  </si>
  <si>
    <t>60071960</t>
  </si>
  <si>
    <t>1020.828</t>
  </si>
  <si>
    <t>Film: Typisch Emil</t>
  </si>
  <si>
    <t>Filmcoopi Zürich AG</t>
  </si>
  <si>
    <t>Heinrichstrasse 114, 8005 Zürich</t>
  </si>
  <si>
    <t>98 85900 00000 00000 00009 17792</t>
  </si>
  <si>
    <t>1020.521</t>
  </si>
  <si>
    <t>Champagner Einkauf: Veuve Clicquot</t>
  </si>
  <si>
    <t>Stefan Jablonski</t>
  </si>
  <si>
    <t>1020.599</t>
  </si>
  <si>
    <t>Film: The Seed of the sacred fig</t>
  </si>
  <si>
    <t>trigon-film</t>
  </si>
  <si>
    <t>Limmatauweg 9, 5408 Ennetbaden</t>
  </si>
  <si>
    <t>00 00000 00000 00000 04400 59099</t>
  </si>
  <si>
    <t>44005909</t>
  </si>
  <si>
    <t>1020.428</t>
  </si>
  <si>
    <t>Film: The Missile</t>
  </si>
  <si>
    <t>Frenetic Films Ag</t>
  </si>
  <si>
    <t>Riedtlistrasse 23, 8006 Zürich</t>
  </si>
  <si>
    <t>26 27680 00000 00000 01005 44245</t>
  </si>
  <si>
    <t>SKV Mitgliederbeitrag</t>
  </si>
  <si>
    <t>Schweizerischer Kino-Verband</t>
  </si>
  <si>
    <t>Theaterstrasse 10, 8001 Zürich</t>
  </si>
  <si>
    <t>14718</t>
  </si>
  <si>
    <t>1020.652</t>
  </si>
  <si>
    <t>Film: Der Vierer</t>
  </si>
  <si>
    <t>DCM Film Distribution (Schweiz) GmbH</t>
  </si>
  <si>
    <t>Kreuzstrasse 2, 8008 Zürich</t>
  </si>
  <si>
    <t>96 57660 00000 00000 00302 33275</t>
  </si>
  <si>
    <t>03023327</t>
  </si>
  <si>
    <t>Film: Veuve Clicqot</t>
  </si>
  <si>
    <t>Praesens Film Ag</t>
  </si>
  <si>
    <t>Münchhaldenstrasse 19, 8008 Zürich</t>
  </si>
  <si>
    <t>00 00000 00000 00000 00004 48020</t>
  </si>
  <si>
    <t xml:space="preserve">00044802 </t>
  </si>
  <si>
    <t>SKV Akonto 1 Suisa</t>
  </si>
  <si>
    <t>14948</t>
  </si>
  <si>
    <t>1019.051</t>
  </si>
  <si>
    <t>Regisseur Spesen - Prisoners of Fate</t>
  </si>
  <si>
    <t>Mehdi Sahebi</t>
  </si>
  <si>
    <t>Streulistrasse 85, 8032 Zürich</t>
  </si>
  <si>
    <t>1020.928</t>
  </si>
  <si>
    <t>Film: The Substance</t>
  </si>
  <si>
    <t>98 85900 00000 00000 00009 29507</t>
  </si>
  <si>
    <t>00092950</t>
  </si>
  <si>
    <t>Film: Antarctica Calling</t>
  </si>
  <si>
    <t>1018.767</t>
  </si>
  <si>
    <t>48257</t>
  </si>
  <si>
    <t>1021.270</t>
  </si>
  <si>
    <t>Film: The Brutalist</t>
  </si>
  <si>
    <t>Universal Pictures International Switzerland GmbH</t>
  </si>
  <si>
    <t>Mühlebachstrasse 54, Zürich 8032 Zürich</t>
  </si>
  <si>
    <t>01 00515 60000 00685 00250 28923</t>
  </si>
  <si>
    <t>2502892</t>
  </si>
  <si>
    <t>1019.343</t>
  </si>
  <si>
    <t>Film: Die Drei ??? - und der Karpatenhund</t>
  </si>
  <si>
    <t>Sony Pictures Releasing Switzerland GmbH</t>
  </si>
  <si>
    <t>Dufourstrasse 24, 8008 Zürich</t>
  </si>
  <si>
    <t>3064757</t>
  </si>
  <si>
    <t>1020.279</t>
  </si>
  <si>
    <t>Film: The Outrun</t>
  </si>
  <si>
    <t>cineworx gmbh</t>
  </si>
  <si>
    <t>Clarastrasse 48, 4005 Basel</t>
  </si>
  <si>
    <t>30 29250 00000 00000 00001 96592</t>
  </si>
  <si>
    <t>19659</t>
  </si>
  <si>
    <t>Film: Prisoners of Fate</t>
  </si>
  <si>
    <t>30 29250 00000 00000 00002 00307</t>
  </si>
  <si>
    <t>20030</t>
  </si>
  <si>
    <t>Weischer Cinema Schweiz GmbH</t>
  </si>
  <si>
    <t>Rämistrasse 6, 8001 Zürich</t>
  </si>
  <si>
    <t>250279TS</t>
  </si>
  <si>
    <t>Weischer Werbeeinnahmen März</t>
  </si>
  <si>
    <t>Weischer Werbeeinnahmen Februar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</si>
</sst>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CHF&quot;\ #,##0.00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</cellXfs>
  <cellStyles count="2">
    <cellStyle name="Normal" xfId="0" builtinId="0"/>
    <cellStyle name="Normal 2" xfId="1" xr:uid="{27287C1A-B7AC-49C2-89D9-0074BB2DB80A}"/>
  </cellStyles>
  <dxfs count="10">
    <dxf>
      <numFmt numFmtId="30" formatCode="@"/>
    </dxf>
    <dxf>
      <numFmt numFmtId="30" formatCode="@"/>
    </dxf>
    <dxf>
      <numFmt numFmtId="30" formatCode="@"/>
    </dxf>
    <dxf>
      <numFmt numFmtId="164" formatCode="&quot;CHF&quot;\ #,##0.00"/>
    </dxf>
    <dxf>
      <numFmt numFmtId="19" formatCode="dd/mm/yyyy"/>
    </dxf>
    <dxf>
      <numFmt numFmtId="30" formatCode="@"/>
    </dxf>
    <dxf>
      <numFmt numFmtId="19" formatCode="dd/mm/yyyy"/>
    </dxf>
    <dxf>
      <numFmt numFmtId="164" formatCode="&quot;CHF&quot;\ #,##0.00"/>
    </dxf>
    <dxf>
      <numFmt numFmtId="165" formatCode="dd/mm/yyyy;@"/>
    </dxf>
    <dxf>
      <numFmt numFmtId="165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5BE82C-25E7-42D8-B99F-BB1A7DC4B1DC}" name="Table3" displayName="Table3" ref="A1:H3" totalsRowShown="0">
  <autoFilter ref="A1:H3" xr:uid="{895BE82C-25E7-42D8-B99F-BB1A7DC4B1DC}"/>
  <sortState xmlns:xlrd2="http://schemas.microsoft.com/office/spreadsheetml/2017/richdata2" ref="A2:H2">
    <sortCondition ref="A1:A2"/>
  </sortState>
  <tableColumns count="8">
    <tableColumn id="1" xr3:uid="{3D23B81F-00E6-4787-9893-D2AE611E1A32}" name="Kategorie"/>
    <tableColumn id="2" xr3:uid="{4A3D2615-9D9C-4A35-9563-6454B477091D}" name="Bezeichnung"/>
    <tableColumn id="5" xr3:uid="{CCC1A9CA-28D8-4BE0-BEDE-BE707C85139A}" name="Datum" dataDxfId="9"/>
    <tableColumn id="3" xr3:uid="{B572771D-D07E-4D8C-8302-8B1C2808427A}" name="Suisanummer" dataDxfId="8"/>
    <tableColumn id="4" xr3:uid="{DEF99A8A-2830-4960-A91D-1A789B2E195A}" name="Betrag" dataDxfId="7"/>
    <tableColumn id="7" xr3:uid="{EC0FDCA3-B34E-4378-9B61-6671AF218B0B}" name="Firmennamen"/>
    <tableColumn id="8" xr3:uid="{359B982D-E085-4831-8FE0-859B1B4314AD}" name="Adresse"/>
    <tableColumn id="10" xr3:uid="{02367AEA-A5FC-4D0B-90AF-F9D0D56EB4A0}" name="Rechnungsnumm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CE9D5D-00D4-4490-AE11-80617FB82945}" name="Table16" displayName="Table16" ref="A1:K22" totalsRowShown="0">
  <autoFilter ref="A1:K22" xr:uid="{DECE9D5D-00D4-4490-AE11-80617FB82945}"/>
  <sortState xmlns:xlrd2="http://schemas.microsoft.com/office/spreadsheetml/2017/richdata2" ref="A2:K4">
    <sortCondition ref="A1:A4"/>
  </sortState>
  <tableColumns count="11">
    <tableColumn id="9" xr3:uid="{7720D0EA-5763-4F4F-82DA-8D34884933A7}" name="Kategorie"/>
    <tableColumn id="8" xr3:uid="{12477251-A7BF-41F7-9734-91E55C44981E}" name="Spieldatum" dataDxfId="6"/>
    <tableColumn id="10" xr3:uid="{90784966-A7C8-41A3-8EC0-117CDC7DFB09}" name="Suisanummer" dataDxfId="5"/>
    <tableColumn id="1" xr3:uid="{CADC5726-010C-420F-B3D1-E5B1B323B7D4}" name="Bezeichnung"/>
    <tableColumn id="2" xr3:uid="{48234371-EC10-4470-8D2A-22FC4E54CF28}" name="Datum" dataDxfId="4"/>
    <tableColumn id="3" xr3:uid="{90883362-F5C5-4472-9591-164F8C364C6F}" name="Betrag" dataDxfId="3"/>
    <tableColumn id="4" xr3:uid="{0C538012-5D92-4E64-B81F-85CAF66FE963}" name="Firmennamen"/>
    <tableColumn id="5" xr3:uid="{528DBE91-75A0-4B49-8AC8-06D027A50035}" name="Adresse"/>
    <tableColumn id="6" xr3:uid="{4B5E1481-D849-49CA-8C98-0F7393B356B7}" name="Referenz" dataDxfId="2"/>
    <tableColumn id="7" xr3:uid="{64D50181-342C-4387-875F-8ADB060C0EDC}" name="Rechnungsnummer" dataDxfId="1"/>
    <tableColumn id="11" xr3:uid="{9B01639A-96D8-4A50-B1D3-C69E9C49B9DA}" name="Buchungskont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6C6D9-61AE-47D0-BCA8-925AD93BDF07}" name="Table1" displayName="Table1" ref="A1:A8" totalsRowShown="0">
  <autoFilter ref="A1:A8" xr:uid="{0556C6D9-61AE-47D0-BCA8-925AD93BDF07}"/>
  <sortState xmlns:xlrd2="http://schemas.microsoft.com/office/spreadsheetml/2017/richdata2" ref="A2:A8">
    <sortCondition ref="A1:A8"/>
  </sortState>
  <tableColumns count="1">
    <tableColumn id="1" xr3:uid="{CC621E62-0BE4-4ADB-B21D-45F38B2D8B9A}" name="dropdow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4E7796-9C66-475A-8AF7-0C2CEF8B0651}" name="Table2" displayName="Table2" ref="A1:A5" totalsRowShown="0">
  <autoFilter ref="A1:A5" xr:uid="{B64E7796-9C66-475A-8AF7-0C2CEF8B0651}"/>
  <tableColumns count="1">
    <tableColumn id="1" xr3:uid="{5A48421E-B4F7-440F-94D3-87AB403891F9}" name="Buchhaltungsko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045E-24F3-4DFF-AD02-E9648BA6850D}">
  <dimension ref="A1:H3"/>
  <sheetViews>
    <sheetView tabSelected="1" workbookViewId="0">
      <selection activeCell="B4" sqref="B4"/>
    </sheetView>
  </sheetViews>
  <sheetFormatPr defaultColWidth="8.54296875" defaultRowHeight="14.5" x14ac:dyDescent="0.35"/>
  <cols>
    <col min="1" max="1" width="30.453125" customWidth="1"/>
    <col min="2" max="2" width="37.453125" bestFit="1" customWidth="1"/>
    <col min="3" max="4" width="15.453125" style="4" customWidth="1"/>
    <col min="5" max="5" width="13.1796875" style="3" bestFit="1" customWidth="1"/>
    <col min="6" max="6" width="40" bestFit="1" customWidth="1"/>
    <col min="7" max="7" width="36" bestFit="1" customWidth="1"/>
    <col min="8" max="8" width="42.453125" customWidth="1"/>
  </cols>
  <sheetData>
    <row r="1" spans="1:8" x14ac:dyDescent="0.35">
      <c r="A1" t="s">
        <v>10</v>
      </c>
      <c r="B1" t="s">
        <v>0</v>
      </c>
      <c r="C1" s="4" t="s">
        <v>1</v>
      </c>
      <c r="D1" s="4" t="s">
        <v>35</v>
      </c>
      <c r="E1" s="3" t="s">
        <v>2</v>
      </c>
      <c r="F1" t="s">
        <v>3</v>
      </c>
      <c r="G1" t="s">
        <v>4</v>
      </c>
      <c r="H1" s="2" t="s">
        <v>6</v>
      </c>
    </row>
    <row r="2" spans="1:8" x14ac:dyDescent="0.35">
      <c r="A2" t="s">
        <v>12</v>
      </c>
      <c r="B2" t="s">
        <v>116</v>
      </c>
      <c r="C2" s="4">
        <v>45755</v>
      </c>
      <c r="E2" s="3">
        <v>6.27</v>
      </c>
      <c r="F2" t="s">
        <v>113</v>
      </c>
      <c r="G2" t="s">
        <v>114</v>
      </c>
      <c r="H2" t="s">
        <v>115</v>
      </c>
    </row>
    <row r="3" spans="1:8" x14ac:dyDescent="0.35">
      <c r="A3" t="s">
        <v>12</v>
      </c>
      <c r="B3" t="s">
        <v>117</v>
      </c>
      <c r="C3" s="4">
        <v>45692</v>
      </c>
      <c r="E3" s="3">
        <v>7.96</v>
      </c>
      <c r="F3" t="s">
        <v>113</v>
      </c>
      <c r="G3" t="s">
        <v>114</v>
      </c>
      <c r="H3" t="s">
        <v>115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F14738-253F-45AA-AA13-7D0E4CE09F27}">
          <x14:formula1>
            <xm:f>dropdown!$A$2:$A$8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4BE7-BB11-4664-AEC1-AB301D6C9797}">
  <dimension ref="A1:L114"/>
  <sheetViews>
    <sheetView topLeftCell="B1" zoomScale="103" zoomScaleNormal="85" workbookViewId="0">
      <selection activeCell="B23" sqref="B23"/>
    </sheetView>
  </sheetViews>
  <sheetFormatPr defaultColWidth="8.54296875" defaultRowHeight="14.5" x14ac:dyDescent="0.35"/>
  <cols>
    <col min="1" max="1" width="18" bestFit="1" customWidth="1"/>
    <col min="2" max="2" width="13.453125" style="1" bestFit="1" customWidth="1"/>
    <col min="3" max="3" width="20.54296875" style="2" customWidth="1"/>
    <col min="4" max="4" width="45.453125" bestFit="1" customWidth="1"/>
    <col min="5" max="5" width="10.81640625" bestFit="1" customWidth="1"/>
    <col min="6" max="6" width="13.54296875" bestFit="1" customWidth="1"/>
    <col min="7" max="7" width="31" customWidth="1"/>
    <col min="8" max="8" width="35.54296875" bestFit="1" customWidth="1"/>
    <col min="9" max="9" width="32.453125" bestFit="1" customWidth="1"/>
    <col min="10" max="10" width="19.54296875" bestFit="1" customWidth="1"/>
    <col min="11" max="11" width="29" customWidth="1"/>
  </cols>
  <sheetData>
    <row r="1" spans="1:12" x14ac:dyDescent="0.35">
      <c r="A1" t="s">
        <v>10</v>
      </c>
      <c r="B1" s="1" t="s">
        <v>14</v>
      </c>
      <c r="C1" s="2" t="s">
        <v>35</v>
      </c>
      <c r="D1" t="s">
        <v>0</v>
      </c>
      <c r="E1" t="s">
        <v>1</v>
      </c>
      <c r="F1" s="3" t="s">
        <v>2</v>
      </c>
      <c r="G1" t="s">
        <v>3</v>
      </c>
      <c r="H1" t="s">
        <v>4</v>
      </c>
      <c r="I1" t="s">
        <v>5</v>
      </c>
      <c r="J1" s="2" t="s">
        <v>6</v>
      </c>
      <c r="K1" t="s">
        <v>20</v>
      </c>
    </row>
    <row r="2" spans="1:12" x14ac:dyDescent="0.35">
      <c r="A2" t="s">
        <v>15</v>
      </c>
      <c r="D2" t="s">
        <v>22</v>
      </c>
      <c r="E2" s="1">
        <v>45682</v>
      </c>
      <c r="F2" s="3">
        <f>1140*1.1</f>
        <v>1254</v>
      </c>
      <c r="G2" t="s">
        <v>7</v>
      </c>
      <c r="H2" t="s">
        <v>8</v>
      </c>
      <c r="I2" s="2"/>
      <c r="J2" s="2"/>
      <c r="K2" s="2"/>
      <c r="L2" s="5"/>
    </row>
    <row r="3" spans="1:12" x14ac:dyDescent="0.35">
      <c r="A3" t="s">
        <v>15</v>
      </c>
      <c r="D3" t="s">
        <v>23</v>
      </c>
      <c r="E3" s="1">
        <v>45713</v>
      </c>
      <c r="F3" s="3">
        <f>1140*1.1</f>
        <v>1254</v>
      </c>
      <c r="G3" t="s">
        <v>7</v>
      </c>
      <c r="H3" t="s">
        <v>8</v>
      </c>
      <c r="I3" s="2"/>
      <c r="J3" s="2"/>
      <c r="K3" s="2"/>
    </row>
    <row r="4" spans="1:12" x14ac:dyDescent="0.35">
      <c r="A4" t="s">
        <v>17</v>
      </c>
      <c r="D4" t="s">
        <v>21</v>
      </c>
      <c r="E4" s="1">
        <v>45682</v>
      </c>
      <c r="F4" s="3">
        <v>1200</v>
      </c>
      <c r="G4" t="s">
        <v>9</v>
      </c>
      <c r="H4" t="s">
        <v>18</v>
      </c>
      <c r="I4" s="2"/>
      <c r="J4" s="2"/>
      <c r="K4" s="2"/>
    </row>
    <row r="5" spans="1:12" x14ac:dyDescent="0.35">
      <c r="A5" t="s">
        <v>12</v>
      </c>
      <c r="D5" t="s">
        <v>25</v>
      </c>
      <c r="E5" s="1">
        <v>45671</v>
      </c>
      <c r="F5" s="3">
        <v>40</v>
      </c>
      <c r="G5" t="s">
        <v>26</v>
      </c>
      <c r="H5" t="s">
        <v>27</v>
      </c>
      <c r="I5" s="2" t="s">
        <v>28</v>
      </c>
      <c r="J5" s="2" t="s">
        <v>29</v>
      </c>
      <c r="K5" s="2" t="s">
        <v>33</v>
      </c>
    </row>
    <row r="6" spans="1:12" x14ac:dyDescent="0.35">
      <c r="A6" t="s">
        <v>16</v>
      </c>
      <c r="B6" s="1">
        <v>45676</v>
      </c>
      <c r="C6" s="6" t="s">
        <v>36</v>
      </c>
      <c r="D6" t="s">
        <v>37</v>
      </c>
      <c r="E6" s="1">
        <v>45691</v>
      </c>
      <c r="F6" s="3">
        <v>170</v>
      </c>
      <c r="G6" t="s">
        <v>38</v>
      </c>
      <c r="H6" t="s">
        <v>39</v>
      </c>
      <c r="I6" s="2"/>
      <c r="J6" s="2">
        <v>48060</v>
      </c>
      <c r="K6" s="2" t="s">
        <v>32</v>
      </c>
    </row>
    <row r="7" spans="1:12" x14ac:dyDescent="0.35">
      <c r="A7" t="s">
        <v>16</v>
      </c>
      <c r="B7" s="1">
        <v>45682</v>
      </c>
      <c r="C7" s="7" t="s">
        <v>40</v>
      </c>
      <c r="D7" t="s">
        <v>41</v>
      </c>
      <c r="E7" s="1">
        <v>45692</v>
      </c>
      <c r="F7" s="3">
        <v>181.6</v>
      </c>
      <c r="G7" t="s">
        <v>42</v>
      </c>
      <c r="H7" t="s">
        <v>43</v>
      </c>
      <c r="I7" s="2" t="s">
        <v>44</v>
      </c>
      <c r="J7" s="2" t="s">
        <v>45</v>
      </c>
      <c r="K7" s="2" t="s">
        <v>32</v>
      </c>
    </row>
    <row r="8" spans="1:12" x14ac:dyDescent="0.35">
      <c r="A8" t="s">
        <v>16</v>
      </c>
      <c r="B8" s="1">
        <v>45667</v>
      </c>
      <c r="C8" s="8" t="s">
        <v>46</v>
      </c>
      <c r="D8" t="s">
        <v>47</v>
      </c>
      <c r="E8" s="1">
        <v>45694</v>
      </c>
      <c r="F8" s="3">
        <v>121</v>
      </c>
      <c r="G8" t="s">
        <v>48</v>
      </c>
      <c r="H8" t="s">
        <v>49</v>
      </c>
      <c r="I8" s="2" t="s">
        <v>50</v>
      </c>
      <c r="J8" s="2">
        <v>91779</v>
      </c>
      <c r="K8" s="2" t="s">
        <v>32</v>
      </c>
    </row>
    <row r="9" spans="1:12" x14ac:dyDescent="0.35">
      <c r="A9" t="s">
        <v>19</v>
      </c>
      <c r="B9" s="1">
        <v>45701</v>
      </c>
      <c r="C9" s="2" t="s">
        <v>51</v>
      </c>
      <c r="D9" t="s">
        <v>52</v>
      </c>
      <c r="E9" s="1">
        <v>45698</v>
      </c>
      <c r="F9" s="3">
        <f>3*54.9</f>
        <v>164.7</v>
      </c>
      <c r="G9" t="s">
        <v>53</v>
      </c>
      <c r="I9" s="2"/>
      <c r="J9" s="2"/>
      <c r="K9" s="2"/>
    </row>
    <row r="10" spans="1:12" x14ac:dyDescent="0.35">
      <c r="A10" t="s">
        <v>16</v>
      </c>
      <c r="B10" s="1">
        <v>45683</v>
      </c>
      <c r="C10" s="2" t="s">
        <v>54</v>
      </c>
      <c r="D10" t="s">
        <v>55</v>
      </c>
      <c r="E10" s="1">
        <v>45701</v>
      </c>
      <c r="F10" s="3">
        <v>194.6</v>
      </c>
      <c r="G10" t="s">
        <v>56</v>
      </c>
      <c r="H10" t="s">
        <v>57</v>
      </c>
      <c r="I10" s="2" t="s">
        <v>58</v>
      </c>
      <c r="J10" s="2" t="s">
        <v>59</v>
      </c>
      <c r="K10" s="2" t="s">
        <v>32</v>
      </c>
    </row>
    <row r="11" spans="1:12" x14ac:dyDescent="0.35">
      <c r="A11" t="s">
        <v>16</v>
      </c>
      <c r="B11" s="1">
        <v>45689</v>
      </c>
      <c r="C11" s="2" t="s">
        <v>60</v>
      </c>
      <c r="D11" t="s">
        <v>61</v>
      </c>
      <c r="E11" s="1">
        <v>45707</v>
      </c>
      <c r="F11" s="3">
        <v>214.05</v>
      </c>
      <c r="G11" t="s">
        <v>62</v>
      </c>
      <c r="H11" t="s">
        <v>63</v>
      </c>
      <c r="I11" s="2" t="s">
        <v>64</v>
      </c>
      <c r="J11" s="2">
        <v>10054424</v>
      </c>
      <c r="K11" s="2" t="s">
        <v>31</v>
      </c>
    </row>
    <row r="12" spans="1:12" x14ac:dyDescent="0.35">
      <c r="A12" t="s">
        <v>17</v>
      </c>
      <c r="D12" t="s">
        <v>65</v>
      </c>
      <c r="E12" s="1">
        <v>45709</v>
      </c>
      <c r="F12" s="3">
        <v>100</v>
      </c>
      <c r="G12" t="s">
        <v>66</v>
      </c>
      <c r="H12" t="s">
        <v>67</v>
      </c>
      <c r="I12" s="2"/>
      <c r="J12" s="2" t="s">
        <v>68</v>
      </c>
      <c r="K12" s="2"/>
    </row>
    <row r="13" spans="1:12" x14ac:dyDescent="0.35">
      <c r="A13" t="s">
        <v>16</v>
      </c>
      <c r="B13" s="1">
        <v>45695</v>
      </c>
      <c r="C13" s="2" t="s">
        <v>69</v>
      </c>
      <c r="D13" t="s">
        <v>70</v>
      </c>
      <c r="E13" s="1">
        <v>45717</v>
      </c>
      <c r="F13" s="3">
        <v>194.6</v>
      </c>
      <c r="G13" t="s">
        <v>71</v>
      </c>
      <c r="H13" t="s">
        <v>72</v>
      </c>
      <c r="I13" s="2" t="s">
        <v>73</v>
      </c>
      <c r="J13" s="2" t="s">
        <v>74</v>
      </c>
      <c r="K13" s="2" t="s">
        <v>32</v>
      </c>
    </row>
    <row r="14" spans="1:12" x14ac:dyDescent="0.35">
      <c r="A14" t="s">
        <v>16</v>
      </c>
      <c r="B14" s="1">
        <v>45701</v>
      </c>
      <c r="C14" s="2" t="s">
        <v>51</v>
      </c>
      <c r="D14" t="s">
        <v>75</v>
      </c>
      <c r="E14" s="1">
        <v>45707</v>
      </c>
      <c r="F14" s="3">
        <v>142.05000000000001</v>
      </c>
      <c r="G14" t="s">
        <v>76</v>
      </c>
      <c r="H14" t="s">
        <v>77</v>
      </c>
      <c r="I14" s="2" t="s">
        <v>78</v>
      </c>
      <c r="J14" s="2" t="s">
        <v>79</v>
      </c>
      <c r="K14" s="2" t="s">
        <v>32</v>
      </c>
    </row>
    <row r="15" spans="1:12" x14ac:dyDescent="0.35">
      <c r="A15" t="s">
        <v>17</v>
      </c>
      <c r="D15" t="s">
        <v>80</v>
      </c>
      <c r="E15" s="1">
        <v>45715</v>
      </c>
      <c r="F15" s="3">
        <v>63.7</v>
      </c>
      <c r="G15" t="s">
        <v>66</v>
      </c>
      <c r="H15" t="s">
        <v>67</v>
      </c>
      <c r="I15" s="2"/>
      <c r="J15" s="2" t="s">
        <v>81</v>
      </c>
      <c r="K15" s="2" t="s">
        <v>32</v>
      </c>
    </row>
    <row r="16" spans="1:12" x14ac:dyDescent="0.35">
      <c r="A16" t="s">
        <v>19</v>
      </c>
      <c r="B16" s="1">
        <v>45738</v>
      </c>
      <c r="C16" s="2" t="s">
        <v>82</v>
      </c>
      <c r="D16" t="s">
        <v>83</v>
      </c>
      <c r="E16" s="1">
        <v>45740</v>
      </c>
      <c r="F16" s="3">
        <v>300</v>
      </c>
      <c r="G16" t="s">
        <v>84</v>
      </c>
      <c r="H16" t="s">
        <v>85</v>
      </c>
      <c r="I16" s="2"/>
      <c r="J16" s="2"/>
      <c r="K16" s="2"/>
    </row>
    <row r="17" spans="1:11" x14ac:dyDescent="0.35">
      <c r="A17" t="s">
        <v>16</v>
      </c>
      <c r="B17" s="1">
        <v>45731</v>
      </c>
      <c r="C17" s="2" t="s">
        <v>86</v>
      </c>
      <c r="D17" t="s">
        <v>87</v>
      </c>
      <c r="E17" s="1">
        <v>45744</v>
      </c>
      <c r="F17" s="3">
        <v>73.349999999999994</v>
      </c>
      <c r="G17" t="s">
        <v>48</v>
      </c>
      <c r="H17" t="s">
        <v>49</v>
      </c>
      <c r="I17" s="2" t="s">
        <v>88</v>
      </c>
      <c r="J17" s="2" t="s">
        <v>89</v>
      </c>
      <c r="K17" s="2" t="s">
        <v>32</v>
      </c>
    </row>
    <row r="18" spans="1:11" x14ac:dyDescent="0.35">
      <c r="A18" t="s">
        <v>16</v>
      </c>
      <c r="B18" s="1">
        <v>45739</v>
      </c>
      <c r="C18" s="2" t="s">
        <v>91</v>
      </c>
      <c r="D18" t="s">
        <v>90</v>
      </c>
      <c r="E18" s="1">
        <v>45755</v>
      </c>
      <c r="F18" s="3">
        <v>257</v>
      </c>
      <c r="G18" t="s">
        <v>38</v>
      </c>
      <c r="H18" t="s">
        <v>39</v>
      </c>
      <c r="I18" s="2"/>
      <c r="J18" s="2" t="s">
        <v>92</v>
      </c>
      <c r="K18" s="2" t="s">
        <v>32</v>
      </c>
    </row>
    <row r="19" spans="1:11" x14ac:dyDescent="0.35">
      <c r="A19" t="s">
        <v>16</v>
      </c>
      <c r="B19" s="1">
        <v>45718</v>
      </c>
      <c r="C19" s="2" t="s">
        <v>93</v>
      </c>
      <c r="D19" t="s">
        <v>94</v>
      </c>
      <c r="E19" s="1">
        <v>45743</v>
      </c>
      <c r="F19" s="3">
        <v>162.94999999999999</v>
      </c>
      <c r="G19" t="s">
        <v>95</v>
      </c>
      <c r="H19" t="s">
        <v>96</v>
      </c>
      <c r="I19" s="2" t="s">
        <v>97</v>
      </c>
      <c r="J19" s="2" t="s">
        <v>98</v>
      </c>
      <c r="K19" s="2" t="s">
        <v>32</v>
      </c>
    </row>
    <row r="20" spans="1:11" x14ac:dyDescent="0.35">
      <c r="A20" t="s">
        <v>16</v>
      </c>
      <c r="B20" s="1">
        <v>45690</v>
      </c>
      <c r="C20" s="2" t="s">
        <v>99</v>
      </c>
      <c r="D20" t="s">
        <v>100</v>
      </c>
      <c r="E20" s="1">
        <v>45727</v>
      </c>
      <c r="F20" s="3">
        <v>210.1</v>
      </c>
      <c r="G20" t="s">
        <v>101</v>
      </c>
      <c r="H20" t="s">
        <v>102</v>
      </c>
      <c r="I20" s="2"/>
      <c r="J20" s="2" t="s">
        <v>103</v>
      </c>
      <c r="K20" s="2" t="s">
        <v>32</v>
      </c>
    </row>
    <row r="21" spans="1:11" x14ac:dyDescent="0.35">
      <c r="A21" t="s">
        <v>16</v>
      </c>
      <c r="B21" s="1">
        <v>45674</v>
      </c>
      <c r="C21" s="2" t="s">
        <v>104</v>
      </c>
      <c r="D21" t="s">
        <v>105</v>
      </c>
      <c r="E21" s="1">
        <v>45758</v>
      </c>
      <c r="F21" s="3">
        <v>205.4</v>
      </c>
      <c r="G21" t="s">
        <v>106</v>
      </c>
      <c r="H21" t="s">
        <v>107</v>
      </c>
      <c r="I21" s="2" t="s">
        <v>108</v>
      </c>
      <c r="J21" s="2" t="s">
        <v>109</v>
      </c>
      <c r="K21" s="2" t="s">
        <v>32</v>
      </c>
    </row>
    <row r="22" spans="1:11" x14ac:dyDescent="0.35">
      <c r="A22" t="s">
        <v>16</v>
      </c>
      <c r="B22" s="1">
        <v>45738</v>
      </c>
      <c r="C22" s="2" t="s">
        <v>82</v>
      </c>
      <c r="D22" t="s">
        <v>110</v>
      </c>
      <c r="E22" s="1">
        <v>45758</v>
      </c>
      <c r="F22" s="3">
        <v>205.4</v>
      </c>
      <c r="G22" t="s">
        <v>106</v>
      </c>
      <c r="H22" t="s">
        <v>107</v>
      </c>
      <c r="I22" s="2" t="s">
        <v>111</v>
      </c>
      <c r="J22" s="2" t="s">
        <v>112</v>
      </c>
      <c r="K22" s="2" t="s">
        <v>32</v>
      </c>
    </row>
    <row r="23" spans="1:11" x14ac:dyDescent="0.35">
      <c r="F23" s="3"/>
    </row>
    <row r="24" spans="1:11" x14ac:dyDescent="0.35">
      <c r="F24" s="3"/>
    </row>
    <row r="25" spans="1:11" x14ac:dyDescent="0.35">
      <c r="F25" s="3"/>
    </row>
    <row r="26" spans="1:11" x14ac:dyDescent="0.35">
      <c r="F26" s="3"/>
    </row>
    <row r="27" spans="1:11" x14ac:dyDescent="0.35">
      <c r="F27" s="3"/>
    </row>
    <row r="28" spans="1:11" x14ac:dyDescent="0.35">
      <c r="F28" s="3"/>
    </row>
    <row r="29" spans="1:11" x14ac:dyDescent="0.35">
      <c r="F29" s="3"/>
    </row>
    <row r="30" spans="1:11" x14ac:dyDescent="0.35">
      <c r="F30" s="3"/>
    </row>
    <row r="31" spans="1:11" x14ac:dyDescent="0.35">
      <c r="F31" s="3"/>
    </row>
    <row r="32" spans="1:11" x14ac:dyDescent="0.35">
      <c r="F32" s="3"/>
    </row>
    <row r="33" spans="6:6" x14ac:dyDescent="0.35">
      <c r="F33" s="3"/>
    </row>
    <row r="34" spans="6:6" x14ac:dyDescent="0.35">
      <c r="F34" s="3"/>
    </row>
    <row r="35" spans="6:6" x14ac:dyDescent="0.35">
      <c r="F35" s="3"/>
    </row>
    <row r="36" spans="6:6" x14ac:dyDescent="0.35">
      <c r="F36" s="3"/>
    </row>
    <row r="37" spans="6:6" x14ac:dyDescent="0.35">
      <c r="F37" s="3"/>
    </row>
    <row r="38" spans="6:6" x14ac:dyDescent="0.35">
      <c r="F38" s="3"/>
    </row>
    <row r="39" spans="6:6" x14ac:dyDescent="0.35">
      <c r="F39" s="3"/>
    </row>
    <row r="40" spans="6:6" x14ac:dyDescent="0.35">
      <c r="F40" s="3"/>
    </row>
    <row r="41" spans="6:6" x14ac:dyDescent="0.35">
      <c r="F41" s="3"/>
    </row>
    <row r="42" spans="6:6" x14ac:dyDescent="0.35">
      <c r="F42" s="3"/>
    </row>
    <row r="43" spans="6:6" x14ac:dyDescent="0.35">
      <c r="F43" s="3"/>
    </row>
    <row r="44" spans="6:6" x14ac:dyDescent="0.35">
      <c r="F44" s="3"/>
    </row>
    <row r="45" spans="6:6" x14ac:dyDescent="0.35">
      <c r="F45" s="3"/>
    </row>
    <row r="46" spans="6:6" x14ac:dyDescent="0.35">
      <c r="F46" s="3"/>
    </row>
    <row r="47" spans="6:6" x14ac:dyDescent="0.35">
      <c r="F47" s="3"/>
    </row>
    <row r="48" spans="6:6" x14ac:dyDescent="0.35">
      <c r="F48" s="3"/>
    </row>
    <row r="49" spans="6:6" x14ac:dyDescent="0.35">
      <c r="F49" s="3"/>
    </row>
    <row r="50" spans="6:6" x14ac:dyDescent="0.35">
      <c r="F50" s="3"/>
    </row>
    <row r="51" spans="6:6" x14ac:dyDescent="0.35">
      <c r="F51" s="3"/>
    </row>
    <row r="52" spans="6:6" x14ac:dyDescent="0.35">
      <c r="F52" s="3"/>
    </row>
    <row r="53" spans="6:6" x14ac:dyDescent="0.35">
      <c r="F53" s="3"/>
    </row>
    <row r="54" spans="6:6" x14ac:dyDescent="0.35">
      <c r="F54" s="3"/>
    </row>
    <row r="55" spans="6:6" x14ac:dyDescent="0.35">
      <c r="F55" s="3"/>
    </row>
    <row r="56" spans="6:6" x14ac:dyDescent="0.35">
      <c r="F56" s="3"/>
    </row>
    <row r="57" spans="6:6" x14ac:dyDescent="0.35">
      <c r="F57" s="3"/>
    </row>
    <row r="58" spans="6:6" x14ac:dyDescent="0.35">
      <c r="F58" s="3"/>
    </row>
    <row r="59" spans="6:6" x14ac:dyDescent="0.35">
      <c r="F59" s="3"/>
    </row>
    <row r="60" spans="6:6" x14ac:dyDescent="0.35">
      <c r="F60" s="3"/>
    </row>
    <row r="61" spans="6:6" x14ac:dyDescent="0.35">
      <c r="F61" s="3"/>
    </row>
    <row r="62" spans="6:6" x14ac:dyDescent="0.35">
      <c r="F62" s="3"/>
    </row>
    <row r="63" spans="6:6" x14ac:dyDescent="0.35">
      <c r="F63" s="3"/>
    </row>
    <row r="64" spans="6:6" x14ac:dyDescent="0.35">
      <c r="F64" s="3"/>
    </row>
    <row r="65" spans="6:6" x14ac:dyDescent="0.35">
      <c r="F65" s="3"/>
    </row>
    <row r="66" spans="6:6" x14ac:dyDescent="0.35">
      <c r="F66" s="3"/>
    </row>
    <row r="67" spans="6:6" x14ac:dyDescent="0.35">
      <c r="F67" s="3"/>
    </row>
    <row r="68" spans="6:6" x14ac:dyDescent="0.35">
      <c r="F68" s="3"/>
    </row>
    <row r="69" spans="6:6" x14ac:dyDescent="0.35">
      <c r="F69" s="3"/>
    </row>
    <row r="70" spans="6:6" x14ac:dyDescent="0.35">
      <c r="F70" s="3"/>
    </row>
    <row r="71" spans="6:6" x14ac:dyDescent="0.35">
      <c r="F71" s="3"/>
    </row>
    <row r="72" spans="6:6" x14ac:dyDescent="0.35">
      <c r="F72" s="3"/>
    </row>
    <row r="73" spans="6:6" x14ac:dyDescent="0.35">
      <c r="F73" s="3"/>
    </row>
    <row r="74" spans="6:6" x14ac:dyDescent="0.35">
      <c r="F74" s="3"/>
    </row>
    <row r="75" spans="6:6" x14ac:dyDescent="0.35">
      <c r="F75" s="3"/>
    </row>
    <row r="76" spans="6:6" x14ac:dyDescent="0.35">
      <c r="F76" s="3"/>
    </row>
    <row r="77" spans="6:6" x14ac:dyDescent="0.35">
      <c r="F77" s="3"/>
    </row>
    <row r="78" spans="6:6" x14ac:dyDescent="0.35">
      <c r="F78" s="3"/>
    </row>
    <row r="79" spans="6:6" x14ac:dyDescent="0.35">
      <c r="F79" s="3"/>
    </row>
    <row r="80" spans="6:6" x14ac:dyDescent="0.35">
      <c r="F80" s="3"/>
    </row>
    <row r="81" spans="6:6" x14ac:dyDescent="0.35">
      <c r="F81" s="3"/>
    </row>
    <row r="82" spans="6:6" x14ac:dyDescent="0.35">
      <c r="F82" s="3"/>
    </row>
    <row r="83" spans="6:6" x14ac:dyDescent="0.35">
      <c r="F83" s="3"/>
    </row>
    <row r="84" spans="6:6" x14ac:dyDescent="0.35">
      <c r="F84" s="3"/>
    </row>
    <row r="85" spans="6:6" x14ac:dyDescent="0.35">
      <c r="F85" s="3"/>
    </row>
    <row r="86" spans="6:6" x14ac:dyDescent="0.35">
      <c r="F86" s="3"/>
    </row>
    <row r="87" spans="6:6" x14ac:dyDescent="0.35">
      <c r="F87" s="3"/>
    </row>
    <row r="88" spans="6:6" x14ac:dyDescent="0.35">
      <c r="F88" s="3"/>
    </row>
    <row r="89" spans="6:6" x14ac:dyDescent="0.35">
      <c r="F89" s="3"/>
    </row>
    <row r="90" spans="6:6" x14ac:dyDescent="0.35">
      <c r="F90" s="3"/>
    </row>
    <row r="91" spans="6:6" x14ac:dyDescent="0.35">
      <c r="F91" s="3"/>
    </row>
    <row r="92" spans="6:6" x14ac:dyDescent="0.35">
      <c r="F92" s="3"/>
    </row>
    <row r="93" spans="6:6" x14ac:dyDescent="0.35">
      <c r="F93" s="3"/>
    </row>
    <row r="94" spans="6:6" x14ac:dyDescent="0.35">
      <c r="F94" s="3"/>
    </row>
    <row r="95" spans="6:6" x14ac:dyDescent="0.35">
      <c r="F95" s="3"/>
    </row>
    <row r="96" spans="6:6" x14ac:dyDescent="0.35">
      <c r="F96" s="3"/>
    </row>
    <row r="97" spans="6:6" x14ac:dyDescent="0.35">
      <c r="F97" s="3"/>
    </row>
    <row r="98" spans="6:6" x14ac:dyDescent="0.35">
      <c r="F98" s="3"/>
    </row>
    <row r="99" spans="6:6" x14ac:dyDescent="0.35">
      <c r="F99" s="3"/>
    </row>
    <row r="100" spans="6:6" x14ac:dyDescent="0.35">
      <c r="F100" s="3"/>
    </row>
    <row r="101" spans="6:6" x14ac:dyDescent="0.35">
      <c r="F101" s="3"/>
    </row>
    <row r="102" spans="6:6" x14ac:dyDescent="0.35">
      <c r="F102" s="3"/>
    </row>
    <row r="103" spans="6:6" x14ac:dyDescent="0.35">
      <c r="F103" s="3"/>
    </row>
    <row r="104" spans="6:6" x14ac:dyDescent="0.35">
      <c r="F104" s="3"/>
    </row>
    <row r="105" spans="6:6" x14ac:dyDescent="0.35">
      <c r="F105" s="3"/>
    </row>
    <row r="106" spans="6:6" x14ac:dyDescent="0.35">
      <c r="F106" s="3"/>
    </row>
    <row r="107" spans="6:6" x14ac:dyDescent="0.35">
      <c r="F107" s="3"/>
    </row>
    <row r="108" spans="6:6" x14ac:dyDescent="0.35">
      <c r="F108" s="3"/>
    </row>
    <row r="109" spans="6:6" x14ac:dyDescent="0.35">
      <c r="F109" s="3"/>
    </row>
    <row r="110" spans="6:6" x14ac:dyDescent="0.35">
      <c r="F110" s="3"/>
    </row>
    <row r="111" spans="6:6" x14ac:dyDescent="0.35">
      <c r="F111" s="3"/>
    </row>
    <row r="112" spans="6:6" x14ac:dyDescent="0.35">
      <c r="F112" s="3"/>
    </row>
    <row r="113" spans="6:6" x14ac:dyDescent="0.35">
      <c r="F113" s="3"/>
    </row>
    <row r="114" spans="6:6" x14ac:dyDescent="0.35">
      <c r="F114" s="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1055D3-EB54-4023-842C-CF79CAE47FBC}">
          <x14:formula1>
            <xm:f>dropdown!$A$2:$A$8</xm:f>
          </x14:formula1>
          <xm:sqref>A1:A1048576</xm:sqref>
        </x14:dataValidation>
        <x14:dataValidation type="list" allowBlank="1" showInputMessage="1" showErrorMessage="1" xr:uid="{22F7887A-8691-49B2-84E4-69384B012117}">
          <x14:formula1>
            <xm:f>Konten!$A$2:$A$5</xm:f>
          </x14:formula1>
          <xm:sqref>K1:K1048576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BA5D-FF22-4032-BB29-794CF56A632B}">
  <dimension ref="A1:A8"/>
  <sheetViews>
    <sheetView workbookViewId="0">
      <selection activeCell="D1" sqref="D1:D5"/>
    </sheetView>
  </sheetViews>
  <sheetFormatPr defaultColWidth="8.54296875" defaultRowHeight="14.5" x14ac:dyDescent="0.35"/>
  <cols>
    <col min="1" max="1" width="21.453125" bestFit="1" customWidth="1"/>
    <col min="4" max="4" width="19.453125" customWidth="1"/>
  </cols>
  <sheetData>
    <row r="1" spans="1:1" x14ac:dyDescent="0.35">
      <c r="A1" t="s">
        <v>24</v>
      </c>
    </row>
    <row r="2" spans="1:1" x14ac:dyDescent="0.35">
      <c r="A2" t="s">
        <v>19</v>
      </c>
    </row>
    <row r="3" spans="1:1" x14ac:dyDescent="0.35">
      <c r="A3" t="s">
        <v>13</v>
      </c>
    </row>
    <row r="4" spans="1:1" x14ac:dyDescent="0.35">
      <c r="A4" t="s">
        <v>15</v>
      </c>
    </row>
    <row r="5" spans="1:1" x14ac:dyDescent="0.35">
      <c r="A5" t="s">
        <v>17</v>
      </c>
    </row>
    <row r="6" spans="1:1" x14ac:dyDescent="0.35">
      <c r="A6" t="s">
        <v>16</v>
      </c>
    </row>
    <row r="7" spans="1:1" x14ac:dyDescent="0.35">
      <c r="A7" t="s">
        <v>11</v>
      </c>
    </row>
    <row r="8" spans="1:1" x14ac:dyDescent="0.35">
      <c r="A8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5BC9-72E3-4F2B-8D7E-DECECAE27301}">
  <dimension ref="A1:A5"/>
  <sheetViews>
    <sheetView workbookViewId="0">
      <selection activeCell="B10" sqref="B10"/>
    </sheetView>
  </sheetViews>
  <sheetFormatPr defaultColWidth="11.54296875" defaultRowHeight="14.5" x14ac:dyDescent="0.35"/>
  <cols>
    <col min="1" max="1" width="27.54296875" bestFit="1" customWidth="1"/>
  </cols>
  <sheetData>
    <row r="1" spans="1:1" x14ac:dyDescent="0.35">
      <c r="A1" t="s">
        <v>30</v>
      </c>
    </row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Einnahmen</vt:lpstr>
      <vt:lpstr>Ausgaben</vt:lpstr>
      <vt:lpstr>dropdown</vt:lpstr>
      <vt:lpstr>Konten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Wagner</dc:creator>
  <cp:lastModifiedBy>Nadia Wagner</cp:lastModifiedBy>
  <dcterms:created xsi:type="dcterms:W3CDTF">2023-12-18T15:56:48Z</dcterms:created>
  <dcterms:modified xsi:type="dcterms:W3CDTF">2025-04-13T09:34:38Z</dcterms:modified>
</cp:coreProperties>
</file>